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iO-66 (Zr)" sheetId="1" r:id="rId4"/>
  </sheets>
  <definedNames/>
  <calcPr/>
  <extLst>
    <ext uri="GoogleSheetsCustomDataVersion2">
      <go:sheetsCustomData xmlns:go="http://customooxmlschemas.google.com/" r:id="rId5" roundtripDataChecksum="n626qeyJbhheg5rpibwrcQ2UqCkVeW6oI5GtOy0YRMw="/>
    </ext>
  </extLst>
</workbook>
</file>

<file path=xl/sharedStrings.xml><?xml version="1.0" encoding="utf-8"?>
<sst xmlns="http://schemas.openxmlformats.org/spreadsheetml/2006/main" count="37" uniqueCount="9">
  <si>
    <t>4T1</t>
  </si>
  <si>
    <t>L929</t>
  </si>
  <si>
    <t>0 Gy</t>
  </si>
  <si>
    <t>1 Gy</t>
  </si>
  <si>
    <t>3 Gy</t>
  </si>
  <si>
    <t>5 Gy</t>
  </si>
  <si>
    <t>CDI</t>
  </si>
  <si>
    <t>CDI (100)</t>
  </si>
  <si>
    <t>ZR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</si>
</sst>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sz val="11.0"/>
      <color theme="1"/>
      <name val="Calibri"/>
    </font>
    <font>
      <sz val="10.0"/>
      <color theme="1"/>
      <name val="Arial"/>
    </font>
    <font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A8D08D"/>
        <bgColor rgb="FFA8D08D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2" numFmtId="0" xfId="0" applyAlignment="1" applyFont="1">
      <alignment horizontal="left"/>
    </xf>
    <xf borderId="1" fillId="2" fontId="2" numFmtId="0" xfId="0" applyAlignment="1" applyBorder="1" applyFill="1" applyFont="1">
      <alignment readingOrder="0"/>
    </xf>
    <xf borderId="0" fillId="2" fontId="2" numFmtId="0" xfId="0" applyFont="1"/>
    <xf borderId="1" fillId="2" fontId="2" numFmtId="0" xfId="0" applyBorder="1" applyFont="1"/>
    <xf borderId="0" fillId="0" fontId="2" numFmtId="0" xfId="0" applyAlignment="1" applyFont="1">
      <alignment readingOrder="0"/>
    </xf>
    <xf borderId="0" fillId="0" fontId="3" numFmtId="0" xfId="0" applyFont="1"/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4" width="18.71"/>
    <col customWidth="1" min="5" max="5" width="12.29"/>
    <col customWidth="1" min="6" max="7" width="8.71"/>
    <col customWidth="1" min="8" max="8" width="5.86"/>
    <col customWidth="1" min="9" max="10" width="18.71"/>
    <col customWidth="1" min="11" max="11" width="20.14"/>
    <col customWidth="1" min="12" max="12" width="12.29"/>
    <col customWidth="1" min="13" max="15" width="8.71"/>
    <col customWidth="1" min="16" max="16" width="9.0"/>
    <col customWidth="1" min="17" max="19" width="18.71"/>
    <col customWidth="1" min="20" max="20" width="12.29"/>
    <col customWidth="1" min="21" max="22" width="8.71"/>
    <col customWidth="1" min="23" max="23" width="5.86"/>
    <col customWidth="1" min="24" max="26" width="18.71"/>
    <col customWidth="1" min="27" max="27" width="12.29"/>
    <col customWidth="1" min="28" max="28" width="8.71"/>
  </cols>
  <sheetData>
    <row r="1" ht="14.25" customHeight="1">
      <c r="A1" s="1" t="s">
        <v>0</v>
      </c>
      <c r="F1" s="1"/>
      <c r="H1" s="1" t="s">
        <v>1</v>
      </c>
      <c r="P1" s="1" t="s">
        <v>0</v>
      </c>
      <c r="U1" s="1"/>
      <c r="W1" s="1" t="s">
        <v>1</v>
      </c>
    </row>
    <row r="2" ht="14.25" customHeight="1">
      <c r="B2" s="2" t="s">
        <v>2</v>
      </c>
      <c r="C2" s="2" t="s">
        <v>3</v>
      </c>
      <c r="D2" s="2" t="s">
        <v>4</v>
      </c>
      <c r="E2" s="2" t="s">
        <v>5</v>
      </c>
      <c r="F2" s="2"/>
      <c r="I2" s="2" t="s">
        <v>2</v>
      </c>
      <c r="J2" s="2" t="s">
        <v>3</v>
      </c>
      <c r="K2" s="2" t="s">
        <v>4</v>
      </c>
      <c r="L2" s="2" t="s">
        <v>5</v>
      </c>
      <c r="Q2" s="2" t="s">
        <v>2</v>
      </c>
      <c r="R2" s="2" t="s">
        <v>3</v>
      </c>
      <c r="S2" s="2" t="s">
        <v>4</v>
      </c>
      <c r="T2" s="2" t="s">
        <v>5</v>
      </c>
      <c r="U2" s="2"/>
      <c r="X2" s="2" t="s">
        <v>2</v>
      </c>
      <c r="Y2" s="2" t="s">
        <v>3</v>
      </c>
      <c r="Z2" s="2" t="s">
        <v>4</v>
      </c>
      <c r="AA2" s="2" t="s">
        <v>5</v>
      </c>
    </row>
    <row r="3" ht="14.25" customHeight="1">
      <c r="A3" s="3">
        <v>0.0</v>
      </c>
      <c r="B3" s="4">
        <v>133839.3</v>
      </c>
      <c r="C3" s="4">
        <v>154525.1</v>
      </c>
      <c r="D3" s="4">
        <v>142527.7</v>
      </c>
      <c r="E3" s="4">
        <v>142704.9</v>
      </c>
      <c r="F3" s="5"/>
      <c r="H3" s="3">
        <v>0.0</v>
      </c>
      <c r="I3" s="4">
        <v>228672.9333</v>
      </c>
      <c r="J3" s="4">
        <v>222399.1333</v>
      </c>
      <c r="K3" s="4">
        <v>212676.7333</v>
      </c>
      <c r="L3" s="4">
        <v>202832.3333</v>
      </c>
      <c r="P3" s="3">
        <v>0.0</v>
      </c>
      <c r="Q3" s="6">
        <f t="shared" ref="Q3:T3" si="1">B3*100/$B$3</f>
        <v>100</v>
      </c>
      <c r="R3" s="6">
        <f t="shared" si="1"/>
        <v>115.4556995</v>
      </c>
      <c r="S3" s="6">
        <f t="shared" si="1"/>
        <v>106.4916658</v>
      </c>
      <c r="T3" s="6">
        <f t="shared" si="1"/>
        <v>106.6240633</v>
      </c>
      <c r="U3" s="5"/>
      <c r="W3" s="3">
        <v>0.0</v>
      </c>
      <c r="X3" s="6">
        <f t="shared" ref="X3:AA3" si="2">I3*100/$I$3</f>
        <v>100</v>
      </c>
      <c r="Y3" s="6">
        <f t="shared" si="2"/>
        <v>97.25643087</v>
      </c>
      <c r="Z3" s="6">
        <f t="shared" si="2"/>
        <v>93.00476896</v>
      </c>
      <c r="AA3" s="6">
        <f t="shared" si="2"/>
        <v>88.69975575</v>
      </c>
    </row>
    <row r="4" ht="14.25" customHeight="1">
      <c r="A4" s="3">
        <v>0.3</v>
      </c>
      <c r="B4" s="4">
        <v>124352.5667</v>
      </c>
      <c r="C4" s="7">
        <v>124352.5667</v>
      </c>
      <c r="D4" s="7">
        <v>154209.3667</v>
      </c>
      <c r="E4" s="7">
        <v>130692.7667</v>
      </c>
      <c r="F4" s="2"/>
      <c r="H4" s="3">
        <v>0.3</v>
      </c>
      <c r="I4" s="4">
        <v>223929.7333</v>
      </c>
      <c r="J4" s="7">
        <v>223929.7333</v>
      </c>
      <c r="K4" s="7">
        <v>230172.1333</v>
      </c>
      <c r="L4" s="7">
        <v>205294.7333</v>
      </c>
      <c r="P4" s="3">
        <v>0.3</v>
      </c>
      <c r="Q4" s="6">
        <f t="shared" ref="Q4:T4" si="3">B4*100/$B$3</f>
        <v>92.91184779</v>
      </c>
      <c r="R4" s="6">
        <f t="shared" si="3"/>
        <v>92.91184779</v>
      </c>
      <c r="S4" s="6">
        <f t="shared" si="3"/>
        <v>115.2197947</v>
      </c>
      <c r="T4" s="6">
        <f t="shared" si="3"/>
        <v>97.6490214</v>
      </c>
      <c r="U4" s="2"/>
      <c r="W4" s="3">
        <v>0.3</v>
      </c>
      <c r="X4" s="6">
        <f t="shared" ref="X4:AA4" si="4">I4*100/$I$3</f>
        <v>97.92577113</v>
      </c>
      <c r="Y4" s="6">
        <f t="shared" si="4"/>
        <v>97.92577113</v>
      </c>
      <c r="Z4" s="6">
        <f t="shared" si="4"/>
        <v>100.6556089</v>
      </c>
      <c r="AA4" s="6">
        <f t="shared" si="4"/>
        <v>89.77657755</v>
      </c>
    </row>
    <row r="5" ht="14.25" customHeight="1">
      <c r="A5" s="3">
        <v>0.15</v>
      </c>
      <c r="B5" s="4">
        <v>131272.8</v>
      </c>
      <c r="C5" s="7">
        <v>131272.8</v>
      </c>
      <c r="D5" s="7">
        <v>157286.4</v>
      </c>
      <c r="E5" s="7">
        <v>139988.6</v>
      </c>
      <c r="F5" s="2"/>
      <c r="H5" s="3">
        <v>0.15</v>
      </c>
      <c r="I5" s="4">
        <v>218997.6</v>
      </c>
      <c r="J5" s="7">
        <v>218997.6</v>
      </c>
      <c r="K5" s="7">
        <v>227052.2</v>
      </c>
      <c r="L5" s="7">
        <v>202890.5</v>
      </c>
      <c r="P5" s="3">
        <v>0.15</v>
      </c>
      <c r="Q5" s="6">
        <f t="shared" ref="Q5:T5" si="5">B5*100/$B$3</f>
        <v>98.08240181</v>
      </c>
      <c r="R5" s="6">
        <f t="shared" si="5"/>
        <v>98.08240181</v>
      </c>
      <c r="S5" s="6">
        <f t="shared" si="5"/>
        <v>117.5188454</v>
      </c>
      <c r="T5" s="6">
        <f t="shared" si="5"/>
        <v>104.5945399</v>
      </c>
      <c r="U5" s="2"/>
      <c r="W5" s="3">
        <v>0.15</v>
      </c>
      <c r="X5" s="6">
        <f t="shared" ref="X5:AA5" si="6">I5*100/$I$3</f>
        <v>95.76892063</v>
      </c>
      <c r="Y5" s="6">
        <f t="shared" si="6"/>
        <v>95.76892063</v>
      </c>
      <c r="Z5" s="6">
        <f t="shared" si="6"/>
        <v>99.29124393</v>
      </c>
      <c r="AA5" s="6">
        <f t="shared" si="6"/>
        <v>88.72519238</v>
      </c>
    </row>
    <row r="6" ht="14.25" customHeight="1">
      <c r="A6" s="3">
        <v>0.075</v>
      </c>
      <c r="B6" s="4">
        <v>136104.4</v>
      </c>
      <c r="C6" s="7">
        <v>136104.4</v>
      </c>
      <c r="D6" s="7">
        <v>159156.4</v>
      </c>
      <c r="E6" s="7">
        <v>135325.8</v>
      </c>
      <c r="F6" s="2"/>
      <c r="H6" s="3">
        <v>0.075</v>
      </c>
      <c r="I6" s="4">
        <v>224199.7667</v>
      </c>
      <c r="J6" s="7">
        <v>224199.7667</v>
      </c>
      <c r="K6" s="7">
        <v>236636.9667</v>
      </c>
      <c r="L6" s="7">
        <v>212306.6667</v>
      </c>
      <c r="P6" s="3">
        <v>0.075</v>
      </c>
      <c r="Q6" s="6">
        <f t="shared" ref="Q6:T6" si="7">B6*100/$B$3</f>
        <v>101.6924028</v>
      </c>
      <c r="R6" s="6">
        <f t="shared" si="7"/>
        <v>101.6924028</v>
      </c>
      <c r="S6" s="6">
        <f t="shared" si="7"/>
        <v>118.9160433</v>
      </c>
      <c r="T6" s="6">
        <f t="shared" si="7"/>
        <v>101.1106603</v>
      </c>
      <c r="U6" s="2"/>
      <c r="W6" s="3">
        <v>0.075</v>
      </c>
      <c r="X6" s="6">
        <f t="shared" ref="X6:AA6" si="8">I6*100/$I$3</f>
        <v>98.0438583</v>
      </c>
      <c r="Y6" s="6">
        <f t="shared" si="8"/>
        <v>98.0438583</v>
      </c>
      <c r="Z6" s="6">
        <f t="shared" si="8"/>
        <v>103.482718</v>
      </c>
      <c r="AA6" s="6">
        <f t="shared" si="8"/>
        <v>92.84293669</v>
      </c>
    </row>
    <row r="7" ht="14.25" customHeight="1"/>
    <row r="8" ht="14.25" customHeight="1">
      <c r="B8" s="2" t="s">
        <v>3</v>
      </c>
      <c r="C8" s="2" t="s">
        <v>4</v>
      </c>
      <c r="D8" s="2" t="s">
        <v>5</v>
      </c>
      <c r="I8" s="2" t="s">
        <v>3</v>
      </c>
      <c r="J8" s="2" t="s">
        <v>4</v>
      </c>
      <c r="K8" s="2" t="s">
        <v>5</v>
      </c>
      <c r="Q8" s="2" t="s">
        <v>3</v>
      </c>
      <c r="R8" s="2" t="s">
        <v>4</v>
      </c>
      <c r="S8" s="2" t="s">
        <v>5</v>
      </c>
      <c r="X8" s="2" t="s">
        <v>3</v>
      </c>
      <c r="Y8" s="2" t="s">
        <v>4</v>
      </c>
      <c r="Z8" s="2" t="s">
        <v>5</v>
      </c>
    </row>
    <row r="9" ht="14.25" customHeight="1">
      <c r="A9" s="8" t="s">
        <v>6</v>
      </c>
      <c r="B9" s="8">
        <f t="shared" ref="B9:B11" si="9">C4/(B4*$C$3)</f>
        <v>0.000006471440562</v>
      </c>
      <c r="C9" s="8">
        <f t="shared" ref="C9:C11" si="10">D4/(B4*$C$3)</f>
        <v>0.000008025220365</v>
      </c>
      <c r="D9" s="8">
        <f t="shared" ref="D9:D11" si="11">E4/(B4*$E$3)</f>
        <v>0.000007364748363</v>
      </c>
      <c r="I9" s="8">
        <f t="shared" ref="I9:I11" si="12">J4/(I4*$C$3)</f>
        <v>0.000006471440562</v>
      </c>
      <c r="J9" s="8">
        <f t="shared" ref="J9:J11" si="13">K4/(I4*$C$3)</f>
        <v>0.000006651842334</v>
      </c>
      <c r="K9" s="8">
        <f t="shared" ref="K9:K11" si="14">L4/(I4*$E$3)</f>
        <v>0.000006424319915</v>
      </c>
      <c r="P9" s="8" t="s">
        <v>6</v>
      </c>
      <c r="Q9" s="8">
        <f t="shared" ref="Q9:Q11" si="15">R4/(Q4*$R$3)</f>
        <v>0.008661330748</v>
      </c>
      <c r="R9" s="8">
        <f t="shared" ref="R9:R11" si="16">S4/(Q4*$S$3)</f>
        <v>0.01164502377</v>
      </c>
      <c r="S9" s="8">
        <f t="shared" ref="S9:S11" si="17">T4/(Q4*$T$3)</f>
        <v>0.009856927655</v>
      </c>
      <c r="X9" s="8">
        <f t="shared" ref="X9:X11" si="18">Y4/(X4*$Y$3)</f>
        <v>0.01028209642</v>
      </c>
      <c r="Y9" s="8">
        <f t="shared" ref="Y9:Y11" si="19">Z4/(X4*$Z$3)</f>
        <v>0.01105186985</v>
      </c>
      <c r="Z9" s="8">
        <f t="shared" ref="Z9:Z11" si="20">AA4/(X4*$AA$3)</f>
        <v>0.01033578868</v>
      </c>
    </row>
    <row r="10" ht="14.25" customHeight="1">
      <c r="B10" s="8">
        <f t="shared" si="9"/>
        <v>0.000006471440562</v>
      </c>
      <c r="C10" s="8">
        <f t="shared" si="10"/>
        <v>0.000007753849913</v>
      </c>
      <c r="D10" s="8">
        <f t="shared" si="11"/>
        <v>0.000007472725615</v>
      </c>
      <c r="I10" s="8">
        <f t="shared" si="12"/>
        <v>0.000006471440562</v>
      </c>
      <c r="J10" s="8">
        <f t="shared" si="13"/>
        <v>0.000006709456253</v>
      </c>
      <c r="K10" s="8">
        <f t="shared" si="14"/>
        <v>0.000006492074149</v>
      </c>
      <c r="Q10" s="8">
        <f t="shared" si="15"/>
        <v>0.008661330748</v>
      </c>
      <c r="R10" s="8">
        <f t="shared" si="16"/>
        <v>0.01125125074</v>
      </c>
      <c r="S10" s="8">
        <f t="shared" si="17"/>
        <v>0.01000144365</v>
      </c>
      <c r="X10" s="8">
        <f t="shared" si="18"/>
        <v>0.01028209642</v>
      </c>
      <c r="Y10" s="8">
        <f t="shared" si="19"/>
        <v>0.01114759394</v>
      </c>
      <c r="Z10" s="8">
        <f t="shared" si="20"/>
        <v>0.0104447953</v>
      </c>
    </row>
    <row r="11" ht="14.25" customHeight="1">
      <c r="B11" s="8">
        <f t="shared" si="9"/>
        <v>0.000006471440562</v>
      </c>
      <c r="C11" s="8">
        <f t="shared" si="10"/>
        <v>0.000007567508344</v>
      </c>
      <c r="D11" s="8">
        <f t="shared" si="11"/>
        <v>0.000006967380878</v>
      </c>
      <c r="I11" s="8">
        <f t="shared" si="12"/>
        <v>0.000006471440562</v>
      </c>
      <c r="J11" s="8">
        <f t="shared" si="13"/>
        <v>0.000006830435586</v>
      </c>
      <c r="K11" s="8">
        <f t="shared" si="14"/>
        <v>0.000006635743493</v>
      </c>
      <c r="Q11" s="8">
        <f t="shared" si="15"/>
        <v>0.008661330748</v>
      </c>
      <c r="R11" s="8">
        <f t="shared" si="16"/>
        <v>0.01098085916</v>
      </c>
      <c r="S11" s="8">
        <f t="shared" si="17"/>
        <v>0.009325093795</v>
      </c>
      <c r="X11" s="8">
        <f t="shared" si="18"/>
        <v>0.01028209642</v>
      </c>
      <c r="Y11" s="8">
        <f t="shared" si="19"/>
        <v>0.01134859807</v>
      </c>
      <c r="Z11" s="8">
        <f t="shared" si="20"/>
        <v>0.01067593821</v>
      </c>
    </row>
    <row r="12" ht="14.25" customHeight="1"/>
    <row r="13" ht="14.25" customHeight="1">
      <c r="A13" s="8" t="s">
        <v>7</v>
      </c>
      <c r="B13" s="8">
        <f t="shared" ref="B13:D13" si="21">B9*100</f>
        <v>0.0006471440562</v>
      </c>
      <c r="C13" s="8">
        <f t="shared" si="21"/>
        <v>0.0008025220365</v>
      </c>
      <c r="D13" s="8">
        <f t="shared" si="21"/>
        <v>0.0007364748363</v>
      </c>
      <c r="I13" s="8">
        <f t="shared" ref="I13:K13" si="22">I9*100</f>
        <v>0.0006471440562</v>
      </c>
      <c r="J13" s="8">
        <f t="shared" si="22"/>
        <v>0.0006651842334</v>
      </c>
      <c r="K13" s="8">
        <f t="shared" si="22"/>
        <v>0.0006424319915</v>
      </c>
      <c r="P13" s="8" t="s">
        <v>7</v>
      </c>
      <c r="Q13" s="8">
        <f t="shared" ref="Q13:S13" si="23">Q9*100</f>
        <v>0.8661330748</v>
      </c>
      <c r="R13" s="8">
        <f t="shared" si="23"/>
        <v>1.164502377</v>
      </c>
      <c r="S13" s="8">
        <f t="shared" si="23"/>
        <v>0.9856927655</v>
      </c>
      <c r="X13" s="8">
        <f t="shared" ref="X13:Z13" si="24">X9*100</f>
        <v>1.028209642</v>
      </c>
      <c r="Y13" s="8">
        <f t="shared" si="24"/>
        <v>1.105186985</v>
      </c>
      <c r="Z13" s="8">
        <f t="shared" si="24"/>
        <v>1.033578868</v>
      </c>
    </row>
    <row r="14" ht="14.25" customHeight="1">
      <c r="B14" s="8">
        <f t="shared" ref="B14:D14" si="25">B10*100</f>
        <v>0.0006471440562</v>
      </c>
      <c r="C14" s="8">
        <f t="shared" si="25"/>
        <v>0.0007753849913</v>
      </c>
      <c r="D14" s="8">
        <f t="shared" si="25"/>
        <v>0.0007472725615</v>
      </c>
      <c r="I14" s="8">
        <f t="shared" ref="I14:K14" si="26">I10*100</f>
        <v>0.0006471440562</v>
      </c>
      <c r="J14" s="8">
        <f t="shared" si="26"/>
        <v>0.0006709456253</v>
      </c>
      <c r="K14" s="8">
        <f t="shared" si="26"/>
        <v>0.0006492074149</v>
      </c>
      <c r="Q14" s="8">
        <f t="shared" ref="Q14:S14" si="27">Q10*100</f>
        <v>0.8661330748</v>
      </c>
      <c r="R14" s="8">
        <f t="shared" si="27"/>
        <v>1.125125074</v>
      </c>
      <c r="S14" s="8">
        <f t="shared" si="27"/>
        <v>1.000144365</v>
      </c>
      <c r="X14" s="8">
        <f t="shared" ref="X14:Z14" si="28">X10*100</f>
        <v>1.028209642</v>
      </c>
      <c r="Y14" s="8">
        <f t="shared" si="28"/>
        <v>1.114759394</v>
      </c>
      <c r="Z14" s="8">
        <f t="shared" si="28"/>
        <v>1.04447953</v>
      </c>
    </row>
    <row r="15" ht="14.25" customHeight="1">
      <c r="B15" s="8">
        <f t="shared" ref="B15:D15" si="29">B11*100</f>
        <v>0.0006471440562</v>
      </c>
      <c r="C15" s="8">
        <f t="shared" si="29"/>
        <v>0.0007567508344</v>
      </c>
      <c r="D15" s="8">
        <f t="shared" si="29"/>
        <v>0.0006967380878</v>
      </c>
      <c r="I15" s="8">
        <f t="shared" ref="I15:K15" si="30">I11*100</f>
        <v>0.0006471440562</v>
      </c>
      <c r="J15" s="8">
        <f t="shared" si="30"/>
        <v>0.0006830435586</v>
      </c>
      <c r="K15" s="8">
        <f t="shared" si="30"/>
        <v>0.0006635743493</v>
      </c>
      <c r="Q15" s="8">
        <f t="shared" ref="Q15:S15" si="31">Q11*100</f>
        <v>0.8661330748</v>
      </c>
      <c r="R15" s="8">
        <f t="shared" si="31"/>
        <v>1.098085916</v>
      </c>
      <c r="S15" s="8">
        <f t="shared" si="31"/>
        <v>0.9325093795</v>
      </c>
      <c r="X15" s="8">
        <f t="shared" ref="X15:Z15" si="32">X11*100</f>
        <v>1.028209642</v>
      </c>
      <c r="Y15" s="8">
        <f t="shared" si="32"/>
        <v>1.134859807</v>
      </c>
      <c r="Z15" s="8">
        <f t="shared" si="32"/>
        <v>1.067593821</v>
      </c>
    </row>
    <row r="16" ht="14.25" customHeight="1"/>
    <row r="17" ht="14.25" customHeight="1"/>
    <row r="18" ht="14.25" customHeight="1">
      <c r="R18" s="9" t="s">
        <v>8</v>
      </c>
    </row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">
    <mergeCell ref="A1:E1"/>
    <mergeCell ref="H1:K1"/>
    <mergeCell ref="P1:T1"/>
    <mergeCell ref="W1:Z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Nikita Pivovarov</dc:creator>
</cp:coreProperties>
</file>